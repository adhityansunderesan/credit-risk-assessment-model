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63FF0651-11B5-4917-9641-E780B3124F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inancial_Data" sheetId="1" r:id="rId1"/>
    <sheet name="Scoring_Model" sheetId="2" r:id="rId2"/>
    <sheet name="Stress_Test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I8" i="3"/>
  <c r="I9" i="3" s="1"/>
  <c r="I11" i="3" s="1"/>
  <c r="F8" i="3"/>
  <c r="F9" i="3" s="1"/>
  <c r="F11" i="3" s="1"/>
  <c r="B8" i="3"/>
  <c r="B9" i="3" s="1"/>
  <c r="B11" i="3" s="1"/>
  <c r="F12" i="1"/>
  <c r="F13" i="1"/>
  <c r="F11" i="1"/>
  <c r="E12" i="1"/>
  <c r="E13" i="1"/>
  <c r="E11" i="1"/>
  <c r="D12" i="1"/>
  <c r="D13" i="1"/>
  <c r="D11" i="1"/>
  <c r="C13" i="1"/>
  <c r="C12" i="1"/>
  <c r="C11" i="1"/>
  <c r="B12" i="1"/>
  <c r="B13" i="1"/>
  <c r="B11" i="1"/>
  <c r="F4" i="1"/>
  <c r="F3" i="1"/>
  <c r="F2" i="1"/>
  <c r="I2" i="1"/>
  <c r="I3" i="1"/>
  <c r="I4" i="1"/>
</calcChain>
</file>

<file path=xl/sharedStrings.xml><?xml version="1.0" encoding="utf-8"?>
<sst xmlns="http://schemas.openxmlformats.org/spreadsheetml/2006/main" count="55" uniqueCount="42">
  <si>
    <t>Year</t>
  </si>
  <si>
    <t>Revenue</t>
  </si>
  <si>
    <t>EBIT</t>
  </si>
  <si>
    <t>Net Profit</t>
  </si>
  <si>
    <t>Total Debt</t>
  </si>
  <si>
    <t>Shareholder Equity</t>
  </si>
  <si>
    <t>Operating Cash Flow</t>
  </si>
  <si>
    <t>Capex</t>
  </si>
  <si>
    <t>Free Cash Flow</t>
  </si>
  <si>
    <t>Interest</t>
  </si>
  <si>
    <t>Current Assets</t>
  </si>
  <si>
    <t>Current Liabilities</t>
  </si>
  <si>
    <t>RATIO ANALYSIS</t>
  </si>
  <si>
    <t>Debt-to -Equity Ration</t>
  </si>
  <si>
    <t>Interest Coverage Ratio</t>
  </si>
  <si>
    <t>EBIT Margin</t>
  </si>
  <si>
    <t>Free Cash Flow Margin</t>
  </si>
  <si>
    <t>Current Ratio</t>
  </si>
  <si>
    <t>Credit Score Table</t>
  </si>
  <si>
    <t>Category</t>
  </si>
  <si>
    <t>Score</t>
  </si>
  <si>
    <t>Weight</t>
  </si>
  <si>
    <t>Weighted Score</t>
  </si>
  <si>
    <t>Leverage</t>
  </si>
  <si>
    <t>Interest Coverage</t>
  </si>
  <si>
    <t>Profitability</t>
  </si>
  <si>
    <t>Liquidity</t>
  </si>
  <si>
    <t>TOTAL</t>
  </si>
  <si>
    <t>STRESS TESTING</t>
  </si>
  <si>
    <t>Scenario A:</t>
  </si>
  <si>
    <t>Scenario B:</t>
  </si>
  <si>
    <t>Revenue drops by 20%</t>
  </si>
  <si>
    <t>Revenue drops 15%</t>
  </si>
  <si>
    <t>Revenue drops 30%</t>
  </si>
  <si>
    <t>EBIT margin is 24%</t>
  </si>
  <si>
    <t>EBIT margin falls from 24% to 18%</t>
  </si>
  <si>
    <t>EBIT margin falls from 24% to 15%</t>
  </si>
  <si>
    <t xml:space="preserve">Current Revenue (2025) </t>
  </si>
  <si>
    <t xml:space="preserve">New Revenue </t>
  </si>
  <si>
    <t xml:space="preserve">New EBIT </t>
  </si>
  <si>
    <t>New EBIT</t>
  </si>
  <si>
    <t xml:space="preserve">New Coverage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</si>
</sst>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F"/>
      <name val="Inter Var"/>
      <charset val="1"/>
    </font>
    <font>
      <b/>
      <sz val="14"/>
      <color theme="1"/>
      <name val="Calibri"/>
      <family val="2"/>
      <scheme val="minor"/>
    </font>
    <font>
      <sz val="11"/>
      <color rgb="FF242424"/>
      <name val="Aptos Narrow"/>
      <charset val="1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3" fontId="2" fillId="0" borderId="0" xfId="0" applyNumberFormat="1" applyFont="1"/>
    <xf numFmtId="4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5" fillId="0" borderId="0" xfId="0" applyFont="1"/>
    <xf numFmtId="0" fontId="1" fillId="0" borderId="3" xfId="0" applyFont="1" applyBorder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B17" sqref="B17"/>
    </sheetView>
  </sheetViews>
  <sheetFormatPr defaultRowHeight="15"/>
  <cols>
    <col min="1" max="1" width="19.7109375" bestFit="1" customWidth="1"/>
    <col min="2" max="2" width="20.140625" customWidth="1"/>
    <col min="3" max="3" width="21.28515625" customWidth="1"/>
    <col min="4" max="4" width="24.7109375" customWidth="1"/>
    <col min="5" max="5" width="21.85546875" customWidth="1"/>
    <col min="6" max="6" width="25.85546875" customWidth="1"/>
    <col min="7" max="7" width="23.85546875" customWidth="1"/>
    <col min="8" max="8" width="17.140625" customWidth="1"/>
    <col min="9" max="9" width="17.85546875" customWidth="1"/>
    <col min="11" max="11" width="13.5703125" bestFit="1" customWidth="1"/>
    <col min="12" max="12" width="16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4">
        <v>2025</v>
      </c>
      <c r="B2" s="3">
        <v>162990</v>
      </c>
      <c r="C2" s="3">
        <v>39236</v>
      </c>
      <c r="D2" s="3">
        <v>26750</v>
      </c>
      <c r="E2" s="3">
        <v>8227</v>
      </c>
      <c r="F2" s="3">
        <f>2073+93745</f>
        <v>95818</v>
      </c>
      <c r="G2" s="3">
        <v>35694</v>
      </c>
      <c r="H2" s="3">
        <v>2237</v>
      </c>
      <c r="I2" s="3">
        <f>G2-H2</f>
        <v>33457</v>
      </c>
      <c r="J2" s="5">
        <v>416</v>
      </c>
      <c r="K2" s="2">
        <v>92479</v>
      </c>
      <c r="L2" s="2">
        <v>43750</v>
      </c>
    </row>
    <row r="3" spans="1:12">
      <c r="A3" s="4">
        <v>2024</v>
      </c>
      <c r="B3" s="3">
        <v>153670</v>
      </c>
      <c r="C3" s="3">
        <v>36425</v>
      </c>
      <c r="D3" s="3">
        <v>26248</v>
      </c>
      <c r="E3" s="3">
        <v>8359</v>
      </c>
      <c r="F3" s="3">
        <f>2071+86045</f>
        <v>88116</v>
      </c>
      <c r="G3" s="3">
        <v>25210</v>
      </c>
      <c r="H3" s="3">
        <v>2201</v>
      </c>
      <c r="I3" s="3">
        <f t="shared" ref="I3:I4" si="0">G3-H3</f>
        <v>23009</v>
      </c>
      <c r="J3" s="5">
        <v>470</v>
      </c>
      <c r="K3" s="2">
        <v>84822</v>
      </c>
      <c r="L3" s="2">
        <v>40885</v>
      </c>
    </row>
    <row r="4" spans="1:12">
      <c r="A4" s="4">
        <v>2023</v>
      </c>
      <c r="B4" s="3">
        <v>146767</v>
      </c>
      <c r="C4" s="3">
        <v>35130</v>
      </c>
      <c r="D4" s="3">
        <v>24108</v>
      </c>
      <c r="E4" s="3">
        <v>8299</v>
      </c>
      <c r="F4" s="3">
        <f>2069+73338</f>
        <v>75407</v>
      </c>
      <c r="G4" s="3">
        <v>22467</v>
      </c>
      <c r="H4" s="3">
        <v>2579</v>
      </c>
      <c r="I4" s="3">
        <f t="shared" si="0"/>
        <v>19888</v>
      </c>
      <c r="J4" s="5">
        <v>284</v>
      </c>
      <c r="K4" s="2">
        <v>75605</v>
      </c>
      <c r="L4" s="2">
        <v>40890</v>
      </c>
    </row>
    <row r="8" spans="1:12" ht="18.75">
      <c r="A8" s="6" t="s">
        <v>12</v>
      </c>
    </row>
    <row r="10" spans="1:12">
      <c r="A10" s="1" t="s">
        <v>0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</row>
    <row r="11" spans="1:12">
      <c r="A11" s="4">
        <v>2025</v>
      </c>
      <c r="B11">
        <f>E2/F2</f>
        <v>8.5860694232816379E-2</v>
      </c>
      <c r="C11" s="3">
        <f>C2/J2</f>
        <v>94.317307692307693</v>
      </c>
      <c r="D11">
        <f>C2/B2</f>
        <v>0.24072642493404503</v>
      </c>
      <c r="E11">
        <f>I2/B2</f>
        <v>0.20527026197926254</v>
      </c>
      <c r="F11">
        <f>K2/L2</f>
        <v>2.1138057142857143</v>
      </c>
    </row>
    <row r="12" spans="1:12">
      <c r="A12" s="4">
        <v>2024</v>
      </c>
      <c r="B12">
        <f t="shared" ref="B12:B13" si="1">E3/F3</f>
        <v>9.4863588905533619E-2</v>
      </c>
      <c r="C12" s="3">
        <f t="shared" ref="C12:C13" si="2">C3/J3</f>
        <v>77.5</v>
      </c>
      <c r="D12">
        <f t="shared" ref="D12:D13" si="3">C3/B3</f>
        <v>0.23703390381987374</v>
      </c>
      <c r="E12">
        <f t="shared" ref="E12:E13" si="4">I3/B3</f>
        <v>0.14972994078219562</v>
      </c>
      <c r="F12">
        <f t="shared" ref="F12:F13" si="5">K3/L3</f>
        <v>2.0746484040601687</v>
      </c>
    </row>
    <row r="13" spans="1:12">
      <c r="A13" s="4">
        <v>2023</v>
      </c>
      <c r="B13">
        <f t="shared" si="1"/>
        <v>0.11005609558794277</v>
      </c>
      <c r="C13" s="3">
        <f t="shared" si="2"/>
        <v>123.69718309859155</v>
      </c>
      <c r="D13">
        <f t="shared" si="3"/>
        <v>0.23935898396778568</v>
      </c>
      <c r="E13">
        <f t="shared" si="4"/>
        <v>0.13550730068748423</v>
      </c>
      <c r="F13">
        <f t="shared" si="5"/>
        <v>1.8489850819271216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4B79-69B4-44D6-927D-2F1C2E7B5665}">
  <dimension ref="A1:D10"/>
  <sheetViews>
    <sheetView workbookViewId="0">
      <selection activeCell="E13" sqref="E13"/>
    </sheetView>
  </sheetViews>
  <sheetFormatPr defaultRowHeight="15"/>
  <cols>
    <col min="1" max="1" width="21.5703125" bestFit="1" customWidth="1"/>
    <col min="4" max="4" width="14.7109375" bestFit="1" customWidth="1"/>
  </cols>
  <sheetData>
    <row r="1" spans="1:4" ht="18.75">
      <c r="A1" s="6" t="s">
        <v>18</v>
      </c>
    </row>
    <row r="3" spans="1:4">
      <c r="A3" s="1" t="s">
        <v>19</v>
      </c>
      <c r="B3" s="1" t="s">
        <v>20</v>
      </c>
      <c r="C3" s="1" t="s">
        <v>21</v>
      </c>
      <c r="D3" s="1" t="s">
        <v>22</v>
      </c>
    </row>
    <row r="4" spans="1:4">
      <c r="A4" s="4" t="s">
        <v>23</v>
      </c>
      <c r="B4">
        <v>5</v>
      </c>
      <c r="C4">
        <v>20</v>
      </c>
      <c r="D4">
        <v>1</v>
      </c>
    </row>
    <row r="5" spans="1:4">
      <c r="A5" s="4" t="s">
        <v>24</v>
      </c>
      <c r="B5">
        <v>5</v>
      </c>
      <c r="C5">
        <v>20</v>
      </c>
      <c r="D5">
        <v>1</v>
      </c>
    </row>
    <row r="6" spans="1:4">
      <c r="A6" s="4" t="s">
        <v>25</v>
      </c>
      <c r="B6">
        <v>5</v>
      </c>
      <c r="C6">
        <v>20</v>
      </c>
      <c r="D6">
        <v>1</v>
      </c>
    </row>
    <row r="7" spans="1:4">
      <c r="A7" s="4" t="s">
        <v>8</v>
      </c>
      <c r="B7">
        <v>5</v>
      </c>
      <c r="C7">
        <v>15</v>
      </c>
      <c r="D7">
        <v>0.75</v>
      </c>
    </row>
    <row r="8" spans="1:4">
      <c r="A8" s="4" t="s">
        <v>26</v>
      </c>
      <c r="B8">
        <v>5</v>
      </c>
      <c r="C8">
        <v>15</v>
      </c>
      <c r="D8">
        <v>0.75</v>
      </c>
    </row>
    <row r="10" spans="1:4">
      <c r="C10" s="8" t="s">
        <v>27</v>
      </c>
      <c r="D10">
        <f>SUM(D4:D8)</f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8F08-23E1-49E2-8279-26E8567262CE}">
  <dimension ref="A1:I11"/>
  <sheetViews>
    <sheetView workbookViewId="0">
      <selection activeCell="D5" sqref="D5"/>
    </sheetView>
  </sheetViews>
  <sheetFormatPr defaultRowHeight="15"/>
  <cols>
    <col min="1" max="1" width="30.85546875" bestFit="1" customWidth="1"/>
    <col min="2" max="2" width="15.28515625" bestFit="1" customWidth="1"/>
    <col min="5" max="5" width="30.7109375" bestFit="1" customWidth="1"/>
    <col min="6" max="6" width="9.42578125" bestFit="1" customWidth="1"/>
    <col min="8" max="8" width="30.7109375" bestFit="1" customWidth="1"/>
  </cols>
  <sheetData>
    <row r="1" spans="1:9" ht="18.75">
      <c r="A1" s="6" t="s">
        <v>28</v>
      </c>
    </row>
    <row r="3" spans="1:9">
      <c r="A3" s="1" t="s">
        <v>29</v>
      </c>
      <c r="E3" s="1" t="s">
        <v>30</v>
      </c>
      <c r="H3" s="1" t="s">
        <v>30</v>
      </c>
    </row>
    <row r="4" spans="1:9" ht="15.75">
      <c r="A4" s="7" t="s">
        <v>31</v>
      </c>
      <c r="E4" s="7" t="s">
        <v>32</v>
      </c>
      <c r="H4" s="7" t="s">
        <v>33</v>
      </c>
    </row>
    <row r="5" spans="1:9" ht="15.75">
      <c r="A5" s="7" t="s">
        <v>34</v>
      </c>
      <c r="E5" s="7" t="s">
        <v>35</v>
      </c>
      <c r="H5" s="7" t="s">
        <v>36</v>
      </c>
    </row>
    <row r="7" spans="1:9">
      <c r="A7" s="4" t="s">
        <v>37</v>
      </c>
      <c r="B7" s="9">
        <v>162990</v>
      </c>
      <c r="E7" s="4" t="s">
        <v>37</v>
      </c>
      <c r="F7">
        <v>162990</v>
      </c>
      <c r="H7" s="4" t="s">
        <v>37</v>
      </c>
      <c r="I7">
        <v>162990</v>
      </c>
    </row>
    <row r="8" spans="1:9">
      <c r="A8" s="4" t="s">
        <v>38</v>
      </c>
      <c r="B8">
        <f xml:space="preserve"> B7 * 0.8</f>
        <v>130392</v>
      </c>
      <c r="E8" s="4" t="s">
        <v>38</v>
      </c>
      <c r="F8">
        <f xml:space="preserve"> F7 * 0.85</f>
        <v>138541.5</v>
      </c>
      <c r="H8" s="4" t="s">
        <v>38</v>
      </c>
      <c r="I8">
        <f>I7*0.7</f>
        <v>114093</v>
      </c>
    </row>
    <row r="9" spans="1:9">
      <c r="A9" s="4" t="s">
        <v>39</v>
      </c>
      <c r="B9">
        <f xml:space="preserve"> B8 * 0.24</f>
        <v>31294.079999999998</v>
      </c>
      <c r="E9" s="4" t="s">
        <v>40</v>
      </c>
      <c r="F9">
        <f>F8*0.18</f>
        <v>24937.469999999998</v>
      </c>
      <c r="H9" s="4" t="s">
        <v>40</v>
      </c>
      <c r="I9">
        <f>I8*0.15</f>
        <v>17113.95</v>
      </c>
    </row>
    <row r="10" spans="1:9">
      <c r="A10" s="4" t="s">
        <v>9</v>
      </c>
      <c r="B10">
        <v>416</v>
      </c>
      <c r="E10" s="4" t="s">
        <v>9</v>
      </c>
      <c r="F10">
        <v>416</v>
      </c>
      <c r="H10" s="4" t="s">
        <v>9</v>
      </c>
      <c r="I10">
        <v>416</v>
      </c>
    </row>
    <row r="11" spans="1:9">
      <c r="A11" s="4" t="s">
        <v>41</v>
      </c>
      <c r="B11">
        <f xml:space="preserve"> B9 / 416</f>
        <v>75.226153846153835</v>
      </c>
      <c r="E11" s="4" t="s">
        <v>41</v>
      </c>
      <c r="F11">
        <f>F9/F10</f>
        <v>59.945841346153841</v>
      </c>
      <c r="H11" s="4" t="s">
        <v>41</v>
      </c>
      <c r="I11">
        <f>I9/I10</f>
        <v>41.13930288461539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2026-02-13T13:41:20Z</dcterms:created>
  <dcterms:modified xsi:type="dcterms:W3CDTF">2026-02-13T18:44:12Z</dcterms:modified>
  <cp:category/>
  <cp:contentStatus/>
</cp:coreProperties>
</file>